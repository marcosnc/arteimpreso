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Backlog" sheetId="2" state="visible" r:id="rId4"/>
    <sheet name="Cronogram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<sst xmlns="http://schemas.openxmlformats.org/spreadsheetml/2006/main" count="409" uniqueCount="221">
  <si>
    <t xml:space="preserve">Arte Impreso — Backlog y cronograma</t>
  </si>
  <si>
    <t xml:space="preserve">Última actualización: 2026-08-25 · Fuente de verdad para seguimiento del avance</t>
  </si>
  <si>
    <t xml:space="preserve">Supuestos del cronograma</t>
  </si>
  <si>
    <t xml:space="preserve">Fecha de hoy</t>
  </si>
  <si>
    <t xml:space="preserve">2026-08-25</t>
  </si>
  <si>
    <t xml:space="preserve">Capacidad</t>
  </si>
  <si>
    <t xml:space="preserve">Vos solo, dedicación part-time</t>
  </si>
  <si>
    <t xml:space="preserve">Objetivo Demo pública</t>
  </si>
  <si>
    <t xml:space="preserve">2026-09-01 (1 semana)</t>
  </si>
  <si>
    <t xml:space="preserve">Objetivo Beta con artistas de confianza</t>
  </si>
  <si>
    <t xml:space="preserve">2026-09-15 (2 semanas más)</t>
  </si>
  <si>
    <t xml:space="preserve">Acceso general</t>
  </si>
  <si>
    <t xml:space="preserve">Sin fecha fija — se ajusta según lo que se vea en el beta</t>
  </si>
  <si>
    <t xml:space="preserve">Avance por fase</t>
  </si>
  <si>
    <t xml:space="preserve">Fase</t>
  </si>
  <si>
    <t xml:space="preserve">Tareas totales</t>
  </si>
  <si>
    <t xml:space="preserve">Hechas</t>
  </si>
  <si>
    <t xml:space="preserve">% completado</t>
  </si>
  <si>
    <t xml:space="preserve">Fase 1 – Demo</t>
  </si>
  <si>
    <t xml:space="preserve">Fase 2 – Beta artistas</t>
  </si>
  <si>
    <t xml:space="preserve">Fase 2 – si alcanza</t>
  </si>
  <si>
    <t xml:space="preserve">Fase 3 – Camino a acceso general</t>
  </si>
  <si>
    <t xml:space="preserve">Post-GA / Backlog futuro</t>
  </si>
  <si>
    <t xml:space="preserve">Total</t>
  </si>
  <si>
    <t xml:space="preserve">Cómo usar esta planilla</t>
  </si>
  <si>
    <t xml:space="preserve">• La hoja "Backlog" tiene todas las tareas. Cambiá la columna Estado (Pendiente / En progreso / Hecho / Bloqueado) a medida que avanzás — este resumen y la hoja Cronograma se actualizan solos.</t>
  </si>
  <si>
    <t xml:space="preserve">• La columna Fase indica cuándo conviene abordar cada tarea, no una fecha exacta por tarea — a nivel part-time solo, poner fecha calendario a cada ítem sería precisión falsa.</t>
  </si>
  <si>
    <t xml:space="preserve">• Fase 2 tiene ítems marcados "si alcanza": son los primeros a recortar si el tiempo no alcanza para llegar al 15/09 con todo.</t>
  </si>
  <si>
    <t xml:space="preserve">• Fase 3 y Post-GA no tienen fecha fija — se ordenan por prioridad y se van tomando según el ritmo real después del beta.</t>
  </si>
  <si>
    <t xml:space="preserve">ID</t>
  </si>
  <si>
    <t xml:space="preserve">Categoría</t>
  </si>
  <si>
    <t xml:space="preserve">Tarea</t>
  </si>
  <si>
    <t xml:space="preserve">Descripción</t>
  </si>
  <si>
    <t xml:space="preserve">Prioridad</t>
  </si>
  <si>
    <t xml:space="preserve">Estimación (días)</t>
  </si>
  <si>
    <t xml:space="preserve">Estado</t>
  </si>
  <si>
    <t xml:space="preserve">Notas / Dependencias</t>
  </si>
  <si>
    <t xml:space="preserve">INF-1</t>
  </si>
  <si>
    <t xml:space="preserve">Infraestructura</t>
  </si>
  <si>
    <t xml:space="preserve">Elegir plataforma de hosting/deploy</t>
  </si>
  <si>
    <t xml:space="preserve">Decidir VPS + Docker Compose vs. un PaaS (Railway/Render/Fly/DigitalOcean App Platform). Define presupuesto y cuánto administrar vos mismo.</t>
  </si>
  <si>
    <t xml:space="preserve">Alta</t>
  </si>
  <si>
    <t xml:space="preserve">Pendiente</t>
  </si>
  <si>
    <t xml:space="preserve">Bloquea INF-3 y INF-4</t>
  </si>
  <si>
    <t xml:space="preserve">INF-2</t>
  </si>
  <si>
    <t xml:space="preserve">Sacar secretos hardcodeados de docker-compose.yml</t>
  </si>
  <si>
    <t xml:space="preserve">JWT_SECRET y credenciales de Postgres no pueden quedar como están ("dev-secret-change-in-production") en un entorno expuesto públicamente.</t>
  </si>
  <si>
    <t xml:space="preserve">INF-3</t>
  </si>
  <si>
    <t xml:space="preserve">Pipeline de CI/CD</t>
  </si>
  <si>
    <t xml:space="preserve">GitHub Actions: build de imágenes y deploy automático en cada push a main (o por tag).</t>
  </si>
  <si>
    <t xml:space="preserve">Depende de INF-1</t>
  </si>
  <si>
    <t xml:space="preserve">INF-4</t>
  </si>
  <si>
    <t xml:space="preserve">Dominio + HTTPS</t>
  </si>
  <si>
    <t xml:space="preserve">Dominio propio y certificado TLS (Let's Encrypt o el que dé el hosting elegido).</t>
  </si>
  <si>
    <t xml:space="preserve">INF-5</t>
  </si>
  <si>
    <t xml:space="preserve">Backups automáticos de Postgres</t>
  </si>
  <si>
    <t xml:space="preserve">Dump periódico de la base a almacenamiento externo.</t>
  </si>
  <si>
    <t xml:space="preserve">Media</t>
  </si>
  <si>
    <t xml:space="preserve">INF-6</t>
  </si>
  <si>
    <t xml:space="preserve">Entorno de staging</t>
  </si>
  <si>
    <t xml:space="preserve">Instancia separada de producción para probar antes de exponer cambios al beta.</t>
  </si>
  <si>
    <t xml:space="preserve">INF-7</t>
  </si>
  <si>
    <t xml:space="preserve">Logging y monitoreo básico</t>
  </si>
  <si>
    <t xml:space="preserve">Alertas de caída y logs centralizados simples (ej. UptimeRobot + logs del server).</t>
  </si>
  <si>
    <t xml:space="preserve">IMG-1</t>
  </si>
  <si>
    <t xml:space="preserve">Imágenes</t>
  </si>
  <si>
    <t xml:space="preserve">Endpoint de subida de archivo</t>
  </si>
  <si>
    <t xml:space="preserve">Reemplazar imageUrl (URL externa) por subida real (multipart) desde el panel del artista.</t>
  </si>
  <si>
    <t xml:space="preserve">IMG-2</t>
  </si>
  <si>
    <t xml:space="preserve">Almacenamiento persistente (S3-compatible)</t>
  </si>
  <si>
    <t xml:space="preserve">Mover de disco local a un bucket (AWS S3 / DigitalOcean Spaces / Cloudflare R2) — el volumen local no sobrevive bien a redeploys.</t>
  </si>
  <si>
    <t xml:space="preserve">IMG-3</t>
  </si>
  <si>
    <t xml:space="preserve">Validación de resolución mínima (300 DPI)</t>
  </si>
  <si>
    <t xml:space="preserve">Calcular el DPI real de la imagen contra el tamaño físico (cm) de cada PrintFormat habilitado para esa obra; rechazar si no alcanza 300 DPI.</t>
  </si>
  <si>
    <t xml:space="preserve">Depende de IMG-1</t>
  </si>
  <si>
    <t xml:space="preserve">IMG-4</t>
  </si>
  <si>
    <t xml:space="preserve">Pipeline de versión protegida</t>
  </si>
  <si>
    <t xml:space="preserve">Generar automáticamente al subir: versión con marca de agua visible y/o baja resolución para todo lo público.</t>
  </si>
  <si>
    <t xml:space="preserve">Depende de IMG-1, IMG-2</t>
  </si>
  <si>
    <t xml:space="preserve">IMG-5</t>
  </si>
  <si>
    <t xml:space="preserve">Acceso privado al original</t>
  </si>
  <si>
    <t xml:space="preserve">El archivo en alta resolución nunca queda accesible por URL pública, ni siquiera "no listada" — solo lo usa el sistema al mandarlo al proveedor.</t>
  </si>
  <si>
    <t xml:space="preserve">Depende de IMG-2</t>
  </si>
  <si>
    <t xml:space="preserve">IMG-6</t>
  </si>
  <si>
    <t xml:space="preserve">UI de carga y previsualización del artista</t>
  </si>
  <si>
    <t xml:space="preserve">Subir, ver la versión protegida antes de publicar, reemplazar archivo.</t>
  </si>
  <si>
    <t xml:space="preserve">Depende de IMG-1, IMG-4</t>
  </si>
  <si>
    <t xml:space="preserve">IMG-7</t>
  </si>
  <si>
    <t xml:space="preserve">Protecciones adicionales (anti clic-derecho, etc.)</t>
  </si>
  <si>
    <t xml:space="preserve">Valor real bajo — se sortean fácil — pero se puede sumar como capa extra más adelante.</t>
  </si>
  <si>
    <t xml:space="preserve">Baja</t>
  </si>
  <si>
    <t xml:space="preserve">PAG-1</t>
  </si>
  <si>
    <t xml:space="preserve">Pagos y cobros</t>
  </si>
  <si>
    <t xml:space="preserve">Cuenta y credenciales de la pasarela elegida</t>
  </si>
  <si>
    <t xml:space="preserve">Alta de Mercado Pago (u otra) como cobrador único de Arte Impreso.</t>
  </si>
  <si>
    <t xml:space="preserve">Bloqueado por PAG-9 (definición contable)</t>
  </si>
  <si>
    <t xml:space="preserve">PAG-2</t>
  </si>
  <si>
    <t xml:space="preserve">Integrar checkout real</t>
  </si>
  <si>
    <t xml:space="preserve">Reemplazar el pago simulado por Checkout Pro/API real de la pasarela elegida.</t>
  </si>
  <si>
    <t xml:space="preserve">Depende de PAG-1</t>
  </si>
  <si>
    <t xml:space="preserve">PAG-3</t>
  </si>
  <si>
    <t xml:space="preserve">Generalizar Payout (artista + proveedor)</t>
  </si>
  <si>
    <t xml:space="preserve">Modelo de datos y lógica para liquidar tanto a artistas como a proveedores, con método de liquidación (manual / automático / periódico) y estado.</t>
  </si>
  <si>
    <t xml:space="preserve">PAG-4</t>
  </si>
  <si>
    <t xml:space="preserve">Guardar CBU/alias/CUIT de artistas</t>
  </si>
  <si>
    <t xml:space="preserve">Campo en ArtistProfile + UI para cargarlo, para poder liquidarles.</t>
  </si>
  <si>
    <t xml:space="preserve">PAG-5</t>
  </si>
  <si>
    <t xml:space="preserve">Guardar datos de cobro de proveedores</t>
  </si>
  <si>
    <t xml:space="preserve">Campo en PrintProvider + UI admin.</t>
  </si>
  <si>
    <t xml:space="preserve">PAG-6</t>
  </si>
  <si>
    <t xml:space="preserve">Liquidación manual extendida a proveedor</t>
  </si>
  <si>
    <t xml:space="preserve">Ya existe para el artista (ArtistPayout); extenderla al proveedor de impresión.</t>
  </si>
  <si>
    <t xml:space="preserve">Depende de PAG-3, PAG-5</t>
  </si>
  <si>
    <t xml:space="preserve">PAG-7</t>
  </si>
  <si>
    <t xml:space="preserve">Transferencia automática por operación</t>
  </si>
  <si>
    <t xml:space="preserve">Vía API de cuenta empresa de Mercado Pago, o Bind/Paycloud/VALO (costo a cotizar).</t>
  </si>
  <si>
    <t xml:space="preserve">PAG-8</t>
  </si>
  <si>
    <t xml:space="preserve">Liquidación periódica en lote</t>
  </si>
  <si>
    <t xml:space="preserve">Alternativa más simple de automatizar que "por operación" (ej. corrida semanal).</t>
  </si>
  <si>
    <t xml:space="preserve">PAG-9</t>
  </si>
  <si>
    <t xml:space="preserve">Definir modelo de facturación con un contador</t>
  </si>
  <si>
    <t xml:space="preserve">Cuenta de venta y líquido producto vs. mandato con representación; también confirma exposición ante normativa de PSP del BCRA. No es tarea técnica, pero bloquea PAG-1/PAG-2 antes de manejar plata real.</t>
  </si>
  <si>
    <t xml:space="preserve">Tarea externa (contador/abogado)</t>
  </si>
  <si>
    <t xml:space="preserve">PAG-10</t>
  </si>
  <si>
    <t xml:space="preserve">Flujo de devoluciones/cancelaciones</t>
  </si>
  <si>
    <t xml:space="preserve">Reverso de pago y de payouts ya generados.</t>
  </si>
  <si>
    <t xml:space="preserve">PROV-1</t>
  </si>
  <si>
    <t xml:space="preserve">Proveedores de impresión</t>
  </si>
  <si>
    <t xml:space="preserve">Tarifa del proveedor por formato</t>
  </si>
  <si>
    <t xml:space="preserve">Registrar cuánto se le debe pagar al proveedor por producir un pedido, para poder calcular su Payout.</t>
  </si>
  <si>
    <t xml:space="preserve">Depende de PAG-3</t>
  </si>
  <si>
    <t xml:space="preserve">PROV-2</t>
  </si>
  <si>
    <t xml:space="preserve">Integración API real con al menos un proveedor</t>
  </si>
  <si>
    <t xml:space="preserve">Reemplazar el placeholder submitViaApi por una integración real.</t>
  </si>
  <si>
    <t xml:space="preserve">Depende del proveedor concreto que se sume</t>
  </si>
  <si>
    <t xml:space="preserve">PROV-3</t>
  </si>
  <si>
    <t xml:space="preserve">Webhooks entrantes de estado</t>
  </si>
  <si>
    <t xml:space="preserve">Producción / envío / entrega automático en vez de carga manual del admin.</t>
  </si>
  <si>
    <t xml:space="preserve">Depende de PROV-2</t>
  </si>
  <si>
    <t xml:space="preserve">PROV-4</t>
  </si>
  <si>
    <t xml:space="preserve">Selección de proveedor con fallback</t>
  </si>
  <si>
    <t xml:space="preserve">Si el preferido falla o no soporta el formato/zona del pedido.</t>
  </si>
  <si>
    <t xml:space="preserve">CAT-1</t>
  </si>
  <si>
    <t xml:space="preserve">Catálogo y compra</t>
  </si>
  <si>
    <t xml:space="preserve">Búsqueda y filtros</t>
  </si>
  <si>
    <t xml:space="preserve">Por artista, formato y precio.</t>
  </si>
  <si>
    <t xml:space="preserve">CAT-2</t>
  </si>
  <si>
    <t xml:space="preserve">Categorías/tags</t>
  </si>
  <si>
    <t xml:space="preserve">Clasificación de obras.</t>
  </si>
  <si>
    <t xml:space="preserve">CAT-3</t>
  </si>
  <si>
    <t xml:space="preserve">Favoritos/wishlist</t>
  </si>
  <si>
    <t xml:space="preserve">Guardar obras para ver después.</t>
  </si>
  <si>
    <t xml:space="preserve">CAT-4</t>
  </si>
  <si>
    <t xml:space="preserve">Ficha de obra con imagen protegida</t>
  </si>
  <si>
    <t xml:space="preserve">Ajustar la UI del catálogo y la ficha de obra para mostrar la versión protegida, nunca el original.</t>
  </si>
  <si>
    <t xml:space="preserve">Depende de IMG-4</t>
  </si>
  <si>
    <t xml:space="preserve">NOT-1</t>
  </si>
  <si>
    <t xml:space="preserve">Notificaciones</t>
  </si>
  <si>
    <t xml:space="preserve">Elegir proveedor de email transaccional</t>
  </si>
  <si>
    <t xml:space="preserve">Resend / SendGrid / Amazon SES.</t>
  </si>
  <si>
    <t xml:space="preserve">NOT-2</t>
  </si>
  <si>
    <t xml:space="preserve">Emails de artista</t>
  </si>
  <si>
    <t xml:space="preserve">Confirmación de alta como artista beta, aviso de venta, aviso de cobro pendiente/pagado.</t>
  </si>
  <si>
    <t xml:space="preserve">Depende de NOT-1</t>
  </si>
  <si>
    <t xml:space="preserve">NOT-3</t>
  </si>
  <si>
    <t xml:space="preserve">Emails de comprador</t>
  </si>
  <si>
    <t xml:space="preserve">Confirmación de compra, cambio de estado del pedido, entrega.</t>
  </si>
  <si>
    <t xml:space="preserve">SEG-1</t>
  </si>
  <si>
    <t xml:space="preserve">Seguridad y cuentas</t>
  </si>
  <si>
    <t xml:space="preserve">Recuperación de contraseña</t>
  </si>
  <si>
    <t xml:space="preserve">Hoy no existe ningún flujo de "olvidé mi contraseña" — riesgo real si un artista beta pierde el acceso.</t>
  </si>
  <si>
    <t xml:space="preserve">SEG-2</t>
  </si>
  <si>
    <t xml:space="preserve">Verificación de email al registrarse</t>
  </si>
  <si>
    <t xml:space="preserve">Confirmar la casilla al registrarse.</t>
  </si>
  <si>
    <t xml:space="preserve">SEG-3</t>
  </si>
  <si>
    <t xml:space="preserve">Rate limiting en endpoints públicos</t>
  </si>
  <si>
    <t xml:space="preserve">Login, registro, catálogo.</t>
  </si>
  <si>
    <t xml:space="preserve">SEG-4</t>
  </si>
  <si>
    <t xml:space="preserve">Evaluar roles combinados (artista + comprador)</t>
  </si>
  <si>
    <t xml:space="preserve">Solo si los beta testers lo piden explícitamente.</t>
  </si>
  <si>
    <t xml:space="preserve">LEG-1</t>
  </si>
  <si>
    <t xml:space="preserve">Legal y fiscal</t>
  </si>
  <si>
    <t xml:space="preserve">Términos y condiciones + política de privacidad</t>
  </si>
  <si>
    <t xml:space="preserve">Versión mínima antes de exponer el demo/beta a terceros.</t>
  </si>
  <si>
    <t xml:space="preserve">Redacción, no técnica</t>
  </si>
  <si>
    <t xml:space="preserve">LEG-2</t>
  </si>
  <si>
    <t xml:space="preserve">Acuerdo con el artista</t>
  </si>
  <si>
    <t xml:space="preserve">Cesión de derechos de reproducción para imprimir, política de comisión y de límite de impresiones, qué pasa con las imágenes si se da de baja.</t>
  </si>
  <si>
    <t xml:space="preserve">Redacción, no técnica — necesario antes de invitar artistas reales</t>
  </si>
  <si>
    <t xml:space="preserve">LEG-3</t>
  </si>
  <si>
    <t xml:space="preserve">Acuerdo con proveedores (SLA)</t>
  </si>
  <si>
    <t xml:space="preserve">Tiempos, calidad, manejo de reclamos.</t>
  </si>
  <si>
    <t xml:space="preserve">LEG-4</t>
  </si>
  <si>
    <t xml:space="preserve">Definir esquema impositivo con contador</t>
  </si>
  <si>
    <t xml:space="preserve">Mismo tema que PAG-9, listado también acá como ítem legal/fiscal.</t>
  </si>
  <si>
    <t xml:space="preserve">QA-1</t>
  </si>
  <si>
    <t xml:space="preserve">Calidad e ingeniería</t>
  </si>
  <si>
    <t xml:space="preserve">Tests del flujo crítico</t>
  </si>
  <si>
    <t xml:space="preserve">Checkout, cálculo de comisión/payout, validación de stock — antes de manejar plata real.</t>
  </si>
  <si>
    <t xml:space="preserve">QA-2</t>
  </si>
  <si>
    <t xml:space="preserve">Arreglar condición de carrera de printLimit</t>
  </si>
  <si>
    <t xml:space="preserve">Reserva transaccional o constraint en vez de "leer y luego actuar".</t>
  </si>
  <si>
    <t xml:space="preserve">QA-3</t>
  </si>
  <si>
    <t xml:space="preserve">Manejo de errores y logging estructurado</t>
  </si>
  <si>
    <t xml:space="preserve">Estandarizar logs y manejo de errores del server.</t>
  </si>
  <si>
    <t xml:space="preserve">QA-4</t>
  </si>
  <si>
    <t xml:space="preserve">Comisión de plataforma configurable</t>
  </si>
  <si>
    <t xml:space="preserve">Por artista o categoría, en vez del 15% global actual.</t>
  </si>
  <si>
    <t xml:space="preserve">Cronograma por fase</t>
  </si>
  <si>
    <t xml:space="preserve">Semanas desde hoy (25/08/2026). Fase 3 en adelante es iterativo, sin fecha de cierre.</t>
  </si>
  <si>
    <t xml:space="preserve">Semana 1
25/08–01/09</t>
  </si>
  <si>
    <t xml:space="preserve">Semana 2
02/09–08/09</t>
  </si>
  <si>
    <t xml:space="preserve">Semana 3
09/09–15/09</t>
  </si>
  <si>
    <t xml:space="preserve">Semana 4+
16/09 en adelante</t>
  </si>
  <si>
    <t xml:space="preserve">Qué incluye (must)</t>
  </si>
  <si>
    <t xml:space="preserve">●</t>
  </si>
  <si>
    <t xml:space="preserve">Deploy automático (CI/CD), dominio + HTTPS, secretos fuera del compose, T&amp;C mínimos. Objetivo: 01/09.</t>
  </si>
  <si>
    <t xml:space="preserve">Subida de imágenes real con validación 300 DPI, versión protegida (marca de agua/baja res), original nunca público, recuperación de contraseña, acuerdo con el artista. Objetivo: 15/09.</t>
  </si>
  <si>
    <t xml:space="preserve">Pago real (pasarela + modelo de facturación con contador), liquidación a artista y proveedor, integración de proveedores, tests del flujo de plata, resto del backlog por prioridad. Sin fecha de cierre — iterativo.</t>
  </si>
  <si>
    <t xml:space="preserve">Nota de riesgo</t>
  </si>
  <si>
    <t xml:space="preserve">El cronograma es ajustado para dedicación part-time y un solo desarrollador: Fase 1 exige ~3 días efectivos de trabajo técnico en 1 semana, y Fase 2 exige ~10 días efectivos de trabajo técnico (imágenes + seguridad) en 2 semanas. Es alcanzable pero sin margen — los ítems marcados "Fase 2 – si alcanza" en la hoja Backlog (CBU de artistas, notificaciones por email, staging, rate limiting) son los primeros a mover a Fase 3 si el 15/09 se complica. Los pagos reales (Fase 3) además dependen de una definición contable (PAG-9/LEG-4) que no controla el tiempo de desarrollo.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</si>
</sst>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374151"/>
        <bgColor rgb="FF1F2937"/>
      </patternFill>
    </fill>
    <fill>
      <patternFill patternType="solid">
        <fgColor rgb="FFFEE2E2"/>
        <bgColor rgb="FFE5E7EB"/>
      </patternFill>
    </fill>
    <fill>
      <patternFill patternType="solid">
        <fgColor rgb="FFBFDBFE"/>
        <bgColor rgb="FFC7D2FE"/>
      </patternFill>
    </fill>
    <fill>
      <patternFill patternType="solid">
        <fgColor rgb="FFFEF3C7"/>
        <bgColor rgb="FFFEE2E2"/>
      </patternFill>
    </fill>
    <fill>
      <patternFill patternType="solid">
        <fgColor rgb="FFE0E7FF"/>
        <bgColor rgb="FFE5E7EB"/>
      </patternFill>
    </fill>
    <fill>
      <patternFill patternType="solid">
        <fgColor rgb="FFC7D2FE"/>
        <bgColor rgb="FFBFDBFE"/>
      </patternFill>
    </fill>
    <fill>
      <patternFill patternType="solid">
        <fgColor rgb="FFDCFCE7"/>
        <bgColor rgb="FFE5E7EB"/>
      </patternFill>
    </fill>
    <fill>
      <patternFill patternType="solid">
        <fgColor rgb="FFE5E7EB"/>
        <bgColor rgb="FFE0E7FF"/>
      </patternFill>
    </fill>
    <fill>
      <patternFill patternType="solid">
        <fgColor rgb="FFFDE68A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5E7EB"/>
      <rgbColor rgb="FFFDE68A"/>
      <rgbColor rgb="FFBFDBFE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4"/>
    <col collapsed="false" customWidth="true" hidden="false" outlineLevel="0" max="4" min="4" style="0" width="5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</row>
    <row r="6" customFormat="false" ht="15" hidden="false" customHeight="false" outlineLevel="0" collapsed="false">
      <c r="A6" s="4" t="s">
        <v>5</v>
      </c>
      <c r="B6" s="5" t="s">
        <v>6</v>
      </c>
      <c r="C6" s="5"/>
      <c r="D6" s="5"/>
    </row>
    <row r="7" customFormat="false" ht="15" hidden="false" customHeight="false" outlineLevel="0" collapsed="false">
      <c r="A7" s="4" t="s">
        <v>7</v>
      </c>
      <c r="B7" s="5" t="s">
        <v>8</v>
      </c>
      <c r="C7" s="5"/>
      <c r="D7" s="5"/>
    </row>
    <row r="8" customFormat="false" ht="15" hidden="false" customHeight="false" outlineLevel="0" collapsed="false">
      <c r="A8" s="4" t="s">
        <v>9</v>
      </c>
      <c r="B8" s="5" t="s">
        <v>10</v>
      </c>
      <c r="C8" s="5"/>
      <c r="D8" s="5"/>
    </row>
    <row r="9" customFormat="false" ht="15" hidden="false" customHeight="false" outlineLevel="0" collapsed="false">
      <c r="A9" s="4" t="s">
        <v>11</v>
      </c>
      <c r="B9" s="5" t="s">
        <v>12</v>
      </c>
      <c r="C9" s="5"/>
      <c r="D9" s="5"/>
    </row>
    <row r="11" customFormat="false" ht="15" hidden="false" customHeight="false" outlineLevel="0" collapsed="false">
      <c r="A11" s="3" t="s">
        <v>13</v>
      </c>
      <c r="B11" s="3"/>
      <c r="C11" s="3"/>
      <c r="D11" s="3"/>
    </row>
    <row r="12" customFormat="false" ht="15" hidden="false" customHeight="false" outlineLevel="0" collapsed="false">
      <c r="A12" s="6" t="s">
        <v>14</v>
      </c>
      <c r="B12" s="6" t="s">
        <v>15</v>
      </c>
      <c r="C12" s="6" t="s">
        <v>16</v>
      </c>
      <c r="D12" s="6" t="s">
        <v>17</v>
      </c>
    </row>
    <row r="13" customFormat="false" ht="15" hidden="false" customHeight="false" outlineLevel="0" collapsed="false">
      <c r="A13" s="7" t="s">
        <v>18</v>
      </c>
      <c r="B13" s="7" t="n">
        <f aca="false">COUNTIF(Backlog!$F$2:$F$1000,A13)</f>
        <v>5</v>
      </c>
      <c r="C13" s="7" t="n">
        <f aca="false">COUNTIFS(Backlog!$F$2:$F$1000,A13,Backlog!$H$2:$H$1000,"Hecho")</f>
        <v>0</v>
      </c>
      <c r="D13" s="8" t="n">
        <f aca="false">IFERROR(C13/B13,0)</f>
        <v>0</v>
      </c>
    </row>
    <row r="14" customFormat="false" ht="15" hidden="false" customHeight="false" outlineLevel="0" collapsed="false">
      <c r="A14" s="7" t="s">
        <v>19</v>
      </c>
      <c r="B14" s="7" t="n">
        <f aca="false">COUNTIF(Backlog!$F$2:$F$1000,A14)</f>
        <v>9</v>
      </c>
      <c r="C14" s="7" t="n">
        <f aca="false">COUNTIFS(Backlog!$F$2:$F$1000,A14,Backlog!$H$2:$H$1000,"Hecho")</f>
        <v>0</v>
      </c>
      <c r="D14" s="8" t="n">
        <f aca="false">IFERROR(C14/B14,0)</f>
        <v>0</v>
      </c>
    </row>
    <row r="15" customFormat="false" ht="15" hidden="false" customHeight="false" outlineLevel="0" collapsed="false">
      <c r="A15" s="7" t="s">
        <v>20</v>
      </c>
      <c r="B15" s="7" t="n">
        <f aca="false">COUNTIF(Backlog!$F$2:$F$1000,A15)</f>
        <v>9</v>
      </c>
      <c r="C15" s="7" t="n">
        <f aca="false">COUNTIFS(Backlog!$F$2:$F$1000,A15,Backlog!$H$2:$H$1000,"Hecho")</f>
        <v>0</v>
      </c>
      <c r="D15" s="8" t="n">
        <f aca="false">IFERROR(C15/B15,0)</f>
        <v>0</v>
      </c>
    </row>
    <row r="16" customFormat="false" ht="15" hidden="false" customHeight="false" outlineLevel="0" collapsed="false">
      <c r="A16" s="7" t="s">
        <v>21</v>
      </c>
      <c r="B16" s="7" t="n">
        <f aca="false">COUNTIF(Backlog!$F$2:$F$1000,A16)</f>
        <v>14</v>
      </c>
      <c r="C16" s="7" t="n">
        <f aca="false">COUNTIFS(Backlog!$F$2:$F$1000,A16,Backlog!$H$2:$H$1000,"Hecho")</f>
        <v>0</v>
      </c>
      <c r="D16" s="8" t="n">
        <f aca="false">IFERROR(C16/B16,0)</f>
        <v>0</v>
      </c>
    </row>
    <row r="17" customFormat="false" ht="15" hidden="false" customHeight="false" outlineLevel="0" collapsed="false">
      <c r="A17" s="7" t="s">
        <v>22</v>
      </c>
      <c r="B17" s="7" t="n">
        <f aca="false">COUNTIF(Backlog!$F$2:$F$1000,A17)</f>
        <v>10</v>
      </c>
      <c r="C17" s="7" t="n">
        <f aca="false">COUNTIFS(Backlog!$F$2:$F$1000,A17,Backlog!$H$2:$H$1000,"Hecho")</f>
        <v>0</v>
      </c>
      <c r="D17" s="8" t="n">
        <f aca="false">IFERROR(C17/B17,0)</f>
        <v>0</v>
      </c>
    </row>
    <row r="18" customFormat="false" ht="15" hidden="false" customHeight="false" outlineLevel="0" collapsed="false">
      <c r="A18" s="9" t="s">
        <v>23</v>
      </c>
      <c r="B18" s="9" t="n">
        <f aca="false">SUM(B13:B17)</f>
        <v>47</v>
      </c>
      <c r="C18" s="9" t="n">
        <f aca="false">SUM(C13:C17)</f>
        <v>0</v>
      </c>
      <c r="D18" s="10" t="n">
        <f aca="false">IFERROR(C18/B18,0)</f>
        <v>0</v>
      </c>
    </row>
    <row r="20" customFormat="false" ht="15" hidden="false" customHeight="false" outlineLevel="0" collapsed="false">
      <c r="A20" s="3" t="s">
        <v>24</v>
      </c>
      <c r="B20" s="3"/>
      <c r="C20" s="3"/>
      <c r="D20" s="3"/>
    </row>
    <row r="21" customFormat="false" ht="30" hidden="false" customHeight="true" outlineLevel="0" collapsed="false">
      <c r="A21" s="11" t="s">
        <v>25</v>
      </c>
      <c r="B21" s="11"/>
      <c r="C21" s="11"/>
      <c r="D21" s="11"/>
    </row>
    <row r="22" customFormat="false" ht="30" hidden="false" customHeight="true" outlineLevel="0" collapsed="false">
      <c r="A22" s="11" t="s">
        <v>26</v>
      </c>
      <c r="B22" s="11"/>
      <c r="C22" s="11"/>
      <c r="D22" s="11"/>
    </row>
    <row r="23" customFormat="false" ht="30" hidden="false" customHeight="true" outlineLevel="0" collapsed="false">
      <c r="A23" s="11" t="s">
        <v>27</v>
      </c>
      <c r="B23" s="11"/>
      <c r="C23" s="11"/>
      <c r="D23" s="11"/>
    </row>
    <row r="24" customFormat="false" ht="30" hidden="false" customHeight="true" outlineLevel="0" collapsed="false">
      <c r="A24" s="11" t="s">
        <v>28</v>
      </c>
      <c r="B24" s="11"/>
      <c r="C24" s="11"/>
      <c r="D24" s="11"/>
    </row>
  </sheetData>
  <mergeCells count="14">
    <mergeCell ref="A1:D1"/>
    <mergeCell ref="A2:D2"/>
    <mergeCell ref="A4:D4"/>
    <mergeCell ref="B5:D5"/>
    <mergeCell ref="B6:D6"/>
    <mergeCell ref="B7:D7"/>
    <mergeCell ref="B8:D8"/>
    <mergeCell ref="B9:D9"/>
    <mergeCell ref="A11:D11"/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55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23.85" hidden="false" customHeight="false" outlineLevel="0" collapsed="false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14</v>
      </c>
      <c r="G1" s="6" t="s">
        <v>34</v>
      </c>
      <c r="H1" s="6" t="s">
        <v>35</v>
      </c>
      <c r="I1" s="6" t="s">
        <v>36</v>
      </c>
    </row>
    <row r="2" customFormat="false" ht="45" hidden="false" customHeight="true" outlineLevel="0" collapsed="false">
      <c r="A2" s="7" t="s">
        <v>37</v>
      </c>
      <c r="B2" s="7" t="s">
        <v>38</v>
      </c>
      <c r="C2" s="9" t="s">
        <v>39</v>
      </c>
      <c r="D2" s="12" t="s">
        <v>40</v>
      </c>
      <c r="E2" s="13" t="s">
        <v>41</v>
      </c>
      <c r="F2" s="14" t="s">
        <v>18</v>
      </c>
      <c r="G2" s="15" t="n">
        <v>0.5</v>
      </c>
      <c r="H2" s="15" t="s">
        <v>42</v>
      </c>
      <c r="I2" s="12" t="s">
        <v>43</v>
      </c>
    </row>
    <row r="3" customFormat="false" ht="45" hidden="false" customHeight="true" outlineLevel="0" collapsed="false">
      <c r="A3" s="7" t="s">
        <v>44</v>
      </c>
      <c r="B3" s="7" t="s">
        <v>38</v>
      </c>
      <c r="C3" s="9" t="s">
        <v>45</v>
      </c>
      <c r="D3" s="12" t="s">
        <v>46</v>
      </c>
      <c r="E3" s="13" t="s">
        <v>41</v>
      </c>
      <c r="F3" s="14" t="s">
        <v>18</v>
      </c>
      <c r="G3" s="15" t="n">
        <v>0.5</v>
      </c>
      <c r="H3" s="15" t="s">
        <v>42</v>
      </c>
      <c r="I3" s="12"/>
    </row>
    <row r="4" customFormat="false" ht="45" hidden="false" customHeight="true" outlineLevel="0" collapsed="false">
      <c r="A4" s="7" t="s">
        <v>47</v>
      </c>
      <c r="B4" s="7" t="s">
        <v>38</v>
      </c>
      <c r="C4" s="9" t="s">
        <v>48</v>
      </c>
      <c r="D4" s="12" t="s">
        <v>49</v>
      </c>
      <c r="E4" s="13" t="s">
        <v>41</v>
      </c>
      <c r="F4" s="14" t="s">
        <v>18</v>
      </c>
      <c r="G4" s="15" t="n">
        <v>1.5</v>
      </c>
      <c r="H4" s="15" t="s">
        <v>42</v>
      </c>
      <c r="I4" s="12" t="s">
        <v>50</v>
      </c>
    </row>
    <row r="5" customFormat="false" ht="45" hidden="false" customHeight="true" outlineLevel="0" collapsed="false">
      <c r="A5" s="7" t="s">
        <v>51</v>
      </c>
      <c r="B5" s="7" t="s">
        <v>38</v>
      </c>
      <c r="C5" s="9" t="s">
        <v>52</v>
      </c>
      <c r="D5" s="12" t="s">
        <v>53</v>
      </c>
      <c r="E5" s="13" t="s">
        <v>41</v>
      </c>
      <c r="F5" s="14" t="s">
        <v>18</v>
      </c>
      <c r="G5" s="15" t="n">
        <v>0.5</v>
      </c>
      <c r="H5" s="15" t="s">
        <v>42</v>
      </c>
      <c r="I5" s="12" t="s">
        <v>50</v>
      </c>
    </row>
    <row r="6" customFormat="false" ht="45" hidden="false" customHeight="true" outlineLevel="0" collapsed="false">
      <c r="A6" s="7" t="s">
        <v>54</v>
      </c>
      <c r="B6" s="7" t="s">
        <v>38</v>
      </c>
      <c r="C6" s="9" t="s">
        <v>55</v>
      </c>
      <c r="D6" s="12" t="s">
        <v>56</v>
      </c>
      <c r="E6" s="16" t="s">
        <v>57</v>
      </c>
      <c r="F6" s="17" t="s">
        <v>20</v>
      </c>
      <c r="G6" s="15" t="n">
        <v>0.5</v>
      </c>
      <c r="H6" s="15" t="s">
        <v>42</v>
      </c>
      <c r="I6" s="12"/>
    </row>
    <row r="7" customFormat="false" ht="45" hidden="false" customHeight="true" outlineLevel="0" collapsed="false">
      <c r="A7" s="7" t="s">
        <v>58</v>
      </c>
      <c r="B7" s="7" t="s">
        <v>38</v>
      </c>
      <c r="C7" s="9" t="s">
        <v>59</v>
      </c>
      <c r="D7" s="12" t="s">
        <v>60</v>
      </c>
      <c r="E7" s="16" t="s">
        <v>57</v>
      </c>
      <c r="F7" s="17" t="s">
        <v>20</v>
      </c>
      <c r="G7" s="15" t="n">
        <v>1</v>
      </c>
      <c r="H7" s="15" t="s">
        <v>42</v>
      </c>
      <c r="I7" s="12"/>
    </row>
    <row r="8" customFormat="false" ht="45" hidden="false" customHeight="true" outlineLevel="0" collapsed="false">
      <c r="A8" s="7" t="s">
        <v>61</v>
      </c>
      <c r="B8" s="7" t="s">
        <v>38</v>
      </c>
      <c r="C8" s="9" t="s">
        <v>62</v>
      </c>
      <c r="D8" s="12" t="s">
        <v>63</v>
      </c>
      <c r="E8" s="16" t="s">
        <v>57</v>
      </c>
      <c r="F8" s="17" t="s">
        <v>20</v>
      </c>
      <c r="G8" s="15" t="n">
        <v>1</v>
      </c>
      <c r="H8" s="15" t="s">
        <v>42</v>
      </c>
      <c r="I8" s="12"/>
    </row>
    <row r="9" customFormat="false" ht="45" hidden="false" customHeight="true" outlineLevel="0" collapsed="false">
      <c r="A9" s="7" t="s">
        <v>64</v>
      </c>
      <c r="B9" s="7" t="s">
        <v>65</v>
      </c>
      <c r="C9" s="9" t="s">
        <v>66</v>
      </c>
      <c r="D9" s="12" t="s">
        <v>67</v>
      </c>
      <c r="E9" s="13" t="s">
        <v>41</v>
      </c>
      <c r="F9" s="18" t="s">
        <v>19</v>
      </c>
      <c r="G9" s="15" t="n">
        <v>2</v>
      </c>
      <c r="H9" s="15" t="s">
        <v>42</v>
      </c>
      <c r="I9" s="12"/>
    </row>
    <row r="10" customFormat="false" ht="45" hidden="false" customHeight="true" outlineLevel="0" collapsed="false">
      <c r="A10" s="7" t="s">
        <v>68</v>
      </c>
      <c r="B10" s="7" t="s">
        <v>65</v>
      </c>
      <c r="C10" s="9" t="s">
        <v>69</v>
      </c>
      <c r="D10" s="12" t="s">
        <v>70</v>
      </c>
      <c r="E10" s="13" t="s">
        <v>41</v>
      </c>
      <c r="F10" s="18" t="s">
        <v>19</v>
      </c>
      <c r="G10" s="15" t="n">
        <v>1</v>
      </c>
      <c r="H10" s="15" t="s">
        <v>42</v>
      </c>
      <c r="I10" s="12" t="s">
        <v>50</v>
      </c>
    </row>
    <row r="11" customFormat="false" ht="45" hidden="false" customHeight="true" outlineLevel="0" collapsed="false">
      <c r="A11" s="7" t="s">
        <v>71</v>
      </c>
      <c r="B11" s="7" t="s">
        <v>65</v>
      </c>
      <c r="C11" s="9" t="s">
        <v>72</v>
      </c>
      <c r="D11" s="12" t="s">
        <v>73</v>
      </c>
      <c r="E11" s="13" t="s">
        <v>41</v>
      </c>
      <c r="F11" s="18" t="s">
        <v>19</v>
      </c>
      <c r="G11" s="15" t="n">
        <v>1.5</v>
      </c>
      <c r="H11" s="15" t="s">
        <v>42</v>
      </c>
      <c r="I11" s="12" t="s">
        <v>74</v>
      </c>
    </row>
    <row r="12" customFormat="false" ht="45" hidden="false" customHeight="true" outlineLevel="0" collapsed="false">
      <c r="A12" s="7" t="s">
        <v>75</v>
      </c>
      <c r="B12" s="7" t="s">
        <v>65</v>
      </c>
      <c r="C12" s="9" t="s">
        <v>76</v>
      </c>
      <c r="D12" s="12" t="s">
        <v>77</v>
      </c>
      <c r="E12" s="13" t="s">
        <v>41</v>
      </c>
      <c r="F12" s="18" t="s">
        <v>19</v>
      </c>
      <c r="G12" s="15" t="n">
        <v>2</v>
      </c>
      <c r="H12" s="15" t="s">
        <v>42</v>
      </c>
      <c r="I12" s="12" t="s">
        <v>78</v>
      </c>
    </row>
    <row r="13" customFormat="false" ht="45" hidden="false" customHeight="true" outlineLevel="0" collapsed="false">
      <c r="A13" s="7" t="s">
        <v>79</v>
      </c>
      <c r="B13" s="7" t="s">
        <v>65</v>
      </c>
      <c r="C13" s="9" t="s">
        <v>80</v>
      </c>
      <c r="D13" s="12" t="s">
        <v>81</v>
      </c>
      <c r="E13" s="13" t="s">
        <v>41</v>
      </c>
      <c r="F13" s="18" t="s">
        <v>19</v>
      </c>
      <c r="G13" s="15" t="n">
        <v>1</v>
      </c>
      <c r="H13" s="15" t="s">
        <v>42</v>
      </c>
      <c r="I13" s="12" t="s">
        <v>82</v>
      </c>
    </row>
    <row r="14" customFormat="false" ht="45" hidden="false" customHeight="true" outlineLevel="0" collapsed="false">
      <c r="A14" s="7" t="s">
        <v>83</v>
      </c>
      <c r="B14" s="7" t="s">
        <v>65</v>
      </c>
      <c r="C14" s="9" t="s">
        <v>84</v>
      </c>
      <c r="D14" s="12" t="s">
        <v>85</v>
      </c>
      <c r="E14" s="13" t="s">
        <v>41</v>
      </c>
      <c r="F14" s="18" t="s">
        <v>19</v>
      </c>
      <c r="G14" s="15" t="n">
        <v>1.5</v>
      </c>
      <c r="H14" s="15" t="s">
        <v>42</v>
      </c>
      <c r="I14" s="12" t="s">
        <v>86</v>
      </c>
    </row>
    <row r="15" customFormat="false" ht="45" hidden="false" customHeight="true" outlineLevel="0" collapsed="false">
      <c r="A15" s="7" t="s">
        <v>87</v>
      </c>
      <c r="B15" s="7" t="s">
        <v>65</v>
      </c>
      <c r="C15" s="9" t="s">
        <v>88</v>
      </c>
      <c r="D15" s="12" t="s">
        <v>89</v>
      </c>
      <c r="E15" s="19" t="s">
        <v>90</v>
      </c>
      <c r="F15" s="20" t="s">
        <v>22</v>
      </c>
      <c r="G15" s="15" t="n">
        <v>0.5</v>
      </c>
      <c r="H15" s="15" t="s">
        <v>42</v>
      </c>
      <c r="I15" s="12"/>
    </row>
    <row r="16" customFormat="false" ht="45" hidden="false" customHeight="true" outlineLevel="0" collapsed="false">
      <c r="A16" s="7" t="s">
        <v>91</v>
      </c>
      <c r="B16" s="7" t="s">
        <v>92</v>
      </c>
      <c r="C16" s="9" t="s">
        <v>93</v>
      </c>
      <c r="D16" s="12" t="s">
        <v>94</v>
      </c>
      <c r="E16" s="13" t="s">
        <v>41</v>
      </c>
      <c r="F16" s="21" t="s">
        <v>21</v>
      </c>
      <c r="G16" s="15" t="n">
        <v>0.5</v>
      </c>
      <c r="H16" s="15" t="s">
        <v>42</v>
      </c>
      <c r="I16" s="12" t="s">
        <v>95</v>
      </c>
    </row>
    <row r="17" customFormat="false" ht="45" hidden="false" customHeight="true" outlineLevel="0" collapsed="false">
      <c r="A17" s="7" t="s">
        <v>96</v>
      </c>
      <c r="B17" s="7" t="s">
        <v>92</v>
      </c>
      <c r="C17" s="9" t="s">
        <v>97</v>
      </c>
      <c r="D17" s="12" t="s">
        <v>98</v>
      </c>
      <c r="E17" s="13" t="s">
        <v>41</v>
      </c>
      <c r="F17" s="21" t="s">
        <v>21</v>
      </c>
      <c r="G17" s="15" t="n">
        <v>3</v>
      </c>
      <c r="H17" s="15" t="s">
        <v>42</v>
      </c>
      <c r="I17" s="12" t="s">
        <v>99</v>
      </c>
    </row>
    <row r="18" customFormat="false" ht="45" hidden="false" customHeight="true" outlineLevel="0" collapsed="false">
      <c r="A18" s="7" t="s">
        <v>100</v>
      </c>
      <c r="B18" s="7" t="s">
        <v>92</v>
      </c>
      <c r="C18" s="9" t="s">
        <v>101</v>
      </c>
      <c r="D18" s="12" t="s">
        <v>102</v>
      </c>
      <c r="E18" s="13" t="s">
        <v>41</v>
      </c>
      <c r="F18" s="21" t="s">
        <v>21</v>
      </c>
      <c r="G18" s="15" t="n">
        <v>2</v>
      </c>
      <c r="H18" s="15" t="s">
        <v>42</v>
      </c>
      <c r="I18" s="12"/>
    </row>
    <row r="19" customFormat="false" ht="45" hidden="false" customHeight="true" outlineLevel="0" collapsed="false">
      <c r="A19" s="7" t="s">
        <v>103</v>
      </c>
      <c r="B19" s="7" t="s">
        <v>92</v>
      </c>
      <c r="C19" s="9" t="s">
        <v>104</v>
      </c>
      <c r="D19" s="12" t="s">
        <v>105</v>
      </c>
      <c r="E19" s="13" t="s">
        <v>41</v>
      </c>
      <c r="F19" s="17" t="s">
        <v>20</v>
      </c>
      <c r="G19" s="15" t="n">
        <v>1</v>
      </c>
      <c r="H19" s="15" t="s">
        <v>42</v>
      </c>
      <c r="I19" s="12"/>
    </row>
    <row r="20" customFormat="false" ht="45" hidden="false" customHeight="true" outlineLevel="0" collapsed="false">
      <c r="A20" s="7" t="s">
        <v>106</v>
      </c>
      <c r="B20" s="7" t="s">
        <v>92</v>
      </c>
      <c r="C20" s="9" t="s">
        <v>107</v>
      </c>
      <c r="D20" s="12" t="s">
        <v>108</v>
      </c>
      <c r="E20" s="16" t="s">
        <v>57</v>
      </c>
      <c r="F20" s="21" t="s">
        <v>21</v>
      </c>
      <c r="G20" s="15" t="n">
        <v>0.5</v>
      </c>
      <c r="H20" s="15" t="s">
        <v>42</v>
      </c>
      <c r="I20" s="12"/>
    </row>
    <row r="21" customFormat="false" ht="45" hidden="false" customHeight="true" outlineLevel="0" collapsed="false">
      <c r="A21" s="7" t="s">
        <v>109</v>
      </c>
      <c r="B21" s="7" t="s">
        <v>92</v>
      </c>
      <c r="C21" s="9" t="s">
        <v>110</v>
      </c>
      <c r="D21" s="12" t="s">
        <v>111</v>
      </c>
      <c r="E21" s="13" t="s">
        <v>41</v>
      </c>
      <c r="F21" s="21" t="s">
        <v>21</v>
      </c>
      <c r="G21" s="15" t="n">
        <v>1</v>
      </c>
      <c r="H21" s="15" t="s">
        <v>42</v>
      </c>
      <c r="I21" s="12" t="s">
        <v>112</v>
      </c>
    </row>
    <row r="22" customFormat="false" ht="45" hidden="false" customHeight="true" outlineLevel="0" collapsed="false">
      <c r="A22" s="7" t="s">
        <v>113</v>
      </c>
      <c r="B22" s="7" t="s">
        <v>92</v>
      </c>
      <c r="C22" s="9" t="s">
        <v>114</v>
      </c>
      <c r="D22" s="12" t="s">
        <v>115</v>
      </c>
      <c r="E22" s="16" t="s">
        <v>57</v>
      </c>
      <c r="F22" s="21" t="s">
        <v>21</v>
      </c>
      <c r="G22" s="15" t="n">
        <v>3</v>
      </c>
      <c r="H22" s="15" t="s">
        <v>42</v>
      </c>
      <c r="I22" s="12"/>
    </row>
    <row r="23" customFormat="false" ht="45" hidden="false" customHeight="true" outlineLevel="0" collapsed="false">
      <c r="A23" s="7" t="s">
        <v>116</v>
      </c>
      <c r="B23" s="7" t="s">
        <v>92</v>
      </c>
      <c r="C23" s="9" t="s">
        <v>117</v>
      </c>
      <c r="D23" s="12" t="s">
        <v>118</v>
      </c>
      <c r="E23" s="16" t="s">
        <v>57</v>
      </c>
      <c r="F23" s="20" t="s">
        <v>22</v>
      </c>
      <c r="G23" s="15" t="n">
        <v>2</v>
      </c>
      <c r="H23" s="15" t="s">
        <v>42</v>
      </c>
      <c r="I23" s="12"/>
    </row>
    <row r="24" customFormat="false" ht="45" hidden="false" customHeight="true" outlineLevel="0" collapsed="false">
      <c r="A24" s="7" t="s">
        <v>119</v>
      </c>
      <c r="B24" s="7" t="s">
        <v>92</v>
      </c>
      <c r="C24" s="9" t="s">
        <v>120</v>
      </c>
      <c r="D24" s="12" t="s">
        <v>121</v>
      </c>
      <c r="E24" s="13" t="s">
        <v>41</v>
      </c>
      <c r="F24" s="21" t="s">
        <v>21</v>
      </c>
      <c r="G24" s="15" t="n">
        <v>0</v>
      </c>
      <c r="H24" s="15" t="s">
        <v>42</v>
      </c>
      <c r="I24" s="12" t="s">
        <v>122</v>
      </c>
    </row>
    <row r="25" customFormat="false" ht="45" hidden="false" customHeight="true" outlineLevel="0" collapsed="false">
      <c r="A25" s="7" t="s">
        <v>123</v>
      </c>
      <c r="B25" s="7" t="s">
        <v>92</v>
      </c>
      <c r="C25" s="9" t="s">
        <v>124</v>
      </c>
      <c r="D25" s="12" t="s">
        <v>125</v>
      </c>
      <c r="E25" s="16" t="s">
        <v>57</v>
      </c>
      <c r="F25" s="20" t="s">
        <v>22</v>
      </c>
      <c r="G25" s="15" t="n">
        <v>2</v>
      </c>
      <c r="H25" s="15" t="s">
        <v>42</v>
      </c>
      <c r="I25" s="12"/>
    </row>
    <row r="26" customFormat="false" ht="45" hidden="false" customHeight="true" outlineLevel="0" collapsed="false">
      <c r="A26" s="7" t="s">
        <v>126</v>
      </c>
      <c r="B26" s="7" t="s">
        <v>127</v>
      </c>
      <c r="C26" s="9" t="s">
        <v>128</v>
      </c>
      <c r="D26" s="12" t="s">
        <v>129</v>
      </c>
      <c r="E26" s="13" t="s">
        <v>41</v>
      </c>
      <c r="F26" s="21" t="s">
        <v>21</v>
      </c>
      <c r="G26" s="15" t="n">
        <v>1</v>
      </c>
      <c r="H26" s="15" t="s">
        <v>42</v>
      </c>
      <c r="I26" s="12" t="s">
        <v>130</v>
      </c>
    </row>
    <row r="27" customFormat="false" ht="45" hidden="false" customHeight="true" outlineLevel="0" collapsed="false">
      <c r="A27" s="7" t="s">
        <v>131</v>
      </c>
      <c r="B27" s="7" t="s">
        <v>127</v>
      </c>
      <c r="C27" s="9" t="s">
        <v>132</v>
      </c>
      <c r="D27" s="12" t="s">
        <v>133</v>
      </c>
      <c r="E27" s="16" t="s">
        <v>57</v>
      </c>
      <c r="F27" s="21" t="s">
        <v>21</v>
      </c>
      <c r="G27" s="15" t="n">
        <v>3</v>
      </c>
      <c r="H27" s="15" t="s">
        <v>42</v>
      </c>
      <c r="I27" s="12" t="s">
        <v>134</v>
      </c>
    </row>
    <row r="28" customFormat="false" ht="45" hidden="false" customHeight="true" outlineLevel="0" collapsed="false">
      <c r="A28" s="7" t="s">
        <v>135</v>
      </c>
      <c r="B28" s="7" t="s">
        <v>127</v>
      </c>
      <c r="C28" s="9" t="s">
        <v>136</v>
      </c>
      <c r="D28" s="12" t="s">
        <v>137</v>
      </c>
      <c r="E28" s="16" t="s">
        <v>57</v>
      </c>
      <c r="F28" s="20" t="s">
        <v>22</v>
      </c>
      <c r="G28" s="15" t="n">
        <v>2</v>
      </c>
      <c r="H28" s="15" t="s">
        <v>42</v>
      </c>
      <c r="I28" s="12" t="s">
        <v>138</v>
      </c>
    </row>
    <row r="29" customFormat="false" ht="45" hidden="false" customHeight="true" outlineLevel="0" collapsed="false">
      <c r="A29" s="7" t="s">
        <v>139</v>
      </c>
      <c r="B29" s="7" t="s">
        <v>127</v>
      </c>
      <c r="C29" s="9" t="s">
        <v>140</v>
      </c>
      <c r="D29" s="12" t="s">
        <v>141</v>
      </c>
      <c r="E29" s="19" t="s">
        <v>90</v>
      </c>
      <c r="F29" s="20" t="s">
        <v>22</v>
      </c>
      <c r="G29" s="15" t="n">
        <v>1.5</v>
      </c>
      <c r="H29" s="15" t="s">
        <v>42</v>
      </c>
      <c r="I29" s="12"/>
    </row>
    <row r="30" customFormat="false" ht="45" hidden="false" customHeight="true" outlineLevel="0" collapsed="false">
      <c r="A30" s="7" t="s">
        <v>142</v>
      </c>
      <c r="B30" s="7" t="s">
        <v>143</v>
      </c>
      <c r="C30" s="9" t="s">
        <v>144</v>
      </c>
      <c r="D30" s="12" t="s">
        <v>145</v>
      </c>
      <c r="E30" s="16" t="s">
        <v>57</v>
      </c>
      <c r="F30" s="20" t="s">
        <v>22</v>
      </c>
      <c r="G30" s="15" t="n">
        <v>2</v>
      </c>
      <c r="H30" s="15" t="s">
        <v>42</v>
      </c>
      <c r="I30" s="12"/>
    </row>
    <row r="31" customFormat="false" ht="45" hidden="false" customHeight="true" outlineLevel="0" collapsed="false">
      <c r="A31" s="7" t="s">
        <v>146</v>
      </c>
      <c r="B31" s="7" t="s">
        <v>143</v>
      </c>
      <c r="C31" s="9" t="s">
        <v>147</v>
      </c>
      <c r="D31" s="12" t="s">
        <v>148</v>
      </c>
      <c r="E31" s="16" t="s">
        <v>57</v>
      </c>
      <c r="F31" s="20" t="s">
        <v>22</v>
      </c>
      <c r="G31" s="15" t="n">
        <v>1.5</v>
      </c>
      <c r="H31" s="15" t="s">
        <v>42</v>
      </c>
      <c r="I31" s="12"/>
    </row>
    <row r="32" customFormat="false" ht="45" hidden="false" customHeight="true" outlineLevel="0" collapsed="false">
      <c r="A32" s="7" t="s">
        <v>149</v>
      </c>
      <c r="B32" s="7" t="s">
        <v>143</v>
      </c>
      <c r="C32" s="9" t="s">
        <v>150</v>
      </c>
      <c r="D32" s="12" t="s">
        <v>151</v>
      </c>
      <c r="E32" s="19" t="s">
        <v>90</v>
      </c>
      <c r="F32" s="20" t="s">
        <v>22</v>
      </c>
      <c r="G32" s="15" t="n">
        <v>1</v>
      </c>
      <c r="H32" s="15" t="s">
        <v>42</v>
      </c>
      <c r="I32" s="12"/>
    </row>
    <row r="33" customFormat="false" ht="45" hidden="false" customHeight="true" outlineLevel="0" collapsed="false">
      <c r="A33" s="7" t="s">
        <v>152</v>
      </c>
      <c r="B33" s="7" t="s">
        <v>143</v>
      </c>
      <c r="C33" s="9" t="s">
        <v>153</v>
      </c>
      <c r="D33" s="12" t="s">
        <v>154</v>
      </c>
      <c r="E33" s="13" t="s">
        <v>41</v>
      </c>
      <c r="F33" s="18" t="s">
        <v>19</v>
      </c>
      <c r="G33" s="15" t="n">
        <v>0.5</v>
      </c>
      <c r="H33" s="15" t="s">
        <v>42</v>
      </c>
      <c r="I33" s="12" t="s">
        <v>155</v>
      </c>
    </row>
    <row r="34" customFormat="false" ht="45" hidden="false" customHeight="true" outlineLevel="0" collapsed="false">
      <c r="A34" s="7" t="s">
        <v>156</v>
      </c>
      <c r="B34" s="7" t="s">
        <v>157</v>
      </c>
      <c r="C34" s="9" t="s">
        <v>158</v>
      </c>
      <c r="D34" s="12" t="s">
        <v>159</v>
      </c>
      <c r="E34" s="16" t="s">
        <v>57</v>
      </c>
      <c r="F34" s="17" t="s">
        <v>20</v>
      </c>
      <c r="G34" s="15" t="n">
        <v>0.5</v>
      </c>
      <c r="H34" s="15" t="s">
        <v>42</v>
      </c>
      <c r="I34" s="12"/>
    </row>
    <row r="35" customFormat="false" ht="45" hidden="false" customHeight="true" outlineLevel="0" collapsed="false">
      <c r="A35" s="7" t="s">
        <v>160</v>
      </c>
      <c r="B35" s="7" t="s">
        <v>157</v>
      </c>
      <c r="C35" s="9" t="s">
        <v>161</v>
      </c>
      <c r="D35" s="12" t="s">
        <v>162</v>
      </c>
      <c r="E35" s="16" t="s">
        <v>57</v>
      </c>
      <c r="F35" s="17" t="s">
        <v>20</v>
      </c>
      <c r="G35" s="15" t="n">
        <v>1.5</v>
      </c>
      <c r="H35" s="15" t="s">
        <v>42</v>
      </c>
      <c r="I35" s="12" t="s">
        <v>163</v>
      </c>
    </row>
    <row r="36" customFormat="false" ht="45" hidden="false" customHeight="true" outlineLevel="0" collapsed="false">
      <c r="A36" s="7" t="s">
        <v>164</v>
      </c>
      <c r="B36" s="7" t="s">
        <v>157</v>
      </c>
      <c r="C36" s="9" t="s">
        <v>165</v>
      </c>
      <c r="D36" s="12" t="s">
        <v>166</v>
      </c>
      <c r="E36" s="16" t="s">
        <v>57</v>
      </c>
      <c r="F36" s="21" t="s">
        <v>21</v>
      </c>
      <c r="G36" s="15" t="n">
        <v>1.5</v>
      </c>
      <c r="H36" s="15" t="s">
        <v>42</v>
      </c>
      <c r="I36" s="12" t="s">
        <v>163</v>
      </c>
    </row>
    <row r="37" customFormat="false" ht="45" hidden="false" customHeight="true" outlineLevel="0" collapsed="false">
      <c r="A37" s="7" t="s">
        <v>167</v>
      </c>
      <c r="B37" s="7" t="s">
        <v>168</v>
      </c>
      <c r="C37" s="9" t="s">
        <v>169</v>
      </c>
      <c r="D37" s="12" t="s">
        <v>170</v>
      </c>
      <c r="E37" s="13" t="s">
        <v>41</v>
      </c>
      <c r="F37" s="18" t="s">
        <v>19</v>
      </c>
      <c r="G37" s="15" t="n">
        <v>1</v>
      </c>
      <c r="H37" s="15" t="s">
        <v>42</v>
      </c>
      <c r="I37" s="12"/>
    </row>
    <row r="38" customFormat="false" ht="45" hidden="false" customHeight="true" outlineLevel="0" collapsed="false">
      <c r="A38" s="7" t="s">
        <v>171</v>
      </c>
      <c r="B38" s="7" t="s">
        <v>168</v>
      </c>
      <c r="C38" s="9" t="s">
        <v>172</v>
      </c>
      <c r="D38" s="12" t="s">
        <v>173</v>
      </c>
      <c r="E38" s="16" t="s">
        <v>57</v>
      </c>
      <c r="F38" s="17" t="s">
        <v>20</v>
      </c>
      <c r="G38" s="15" t="n">
        <v>1</v>
      </c>
      <c r="H38" s="15" t="s">
        <v>42</v>
      </c>
      <c r="I38" s="12"/>
    </row>
    <row r="39" customFormat="false" ht="45" hidden="false" customHeight="true" outlineLevel="0" collapsed="false">
      <c r="A39" s="7" t="s">
        <v>174</v>
      </c>
      <c r="B39" s="7" t="s">
        <v>168</v>
      </c>
      <c r="C39" s="9" t="s">
        <v>175</v>
      </c>
      <c r="D39" s="12" t="s">
        <v>176</v>
      </c>
      <c r="E39" s="16" t="s">
        <v>57</v>
      </c>
      <c r="F39" s="17" t="s">
        <v>20</v>
      </c>
      <c r="G39" s="15" t="n">
        <v>1</v>
      </c>
      <c r="H39" s="15" t="s">
        <v>42</v>
      </c>
      <c r="I39" s="12"/>
    </row>
    <row r="40" customFormat="false" ht="45" hidden="false" customHeight="true" outlineLevel="0" collapsed="false">
      <c r="A40" s="7" t="s">
        <v>177</v>
      </c>
      <c r="B40" s="7" t="s">
        <v>168</v>
      </c>
      <c r="C40" s="9" t="s">
        <v>178</v>
      </c>
      <c r="D40" s="12" t="s">
        <v>179</v>
      </c>
      <c r="E40" s="19" t="s">
        <v>90</v>
      </c>
      <c r="F40" s="20" t="s">
        <v>22</v>
      </c>
      <c r="G40" s="15" t="n">
        <v>1.5</v>
      </c>
      <c r="H40" s="15" t="s">
        <v>42</v>
      </c>
      <c r="I40" s="12"/>
    </row>
    <row r="41" customFormat="false" ht="45" hidden="false" customHeight="true" outlineLevel="0" collapsed="false">
      <c r="A41" s="7" t="s">
        <v>180</v>
      </c>
      <c r="B41" s="7" t="s">
        <v>181</v>
      </c>
      <c r="C41" s="9" t="s">
        <v>182</v>
      </c>
      <c r="D41" s="12" t="s">
        <v>183</v>
      </c>
      <c r="E41" s="13" t="s">
        <v>41</v>
      </c>
      <c r="F41" s="14" t="s">
        <v>18</v>
      </c>
      <c r="G41" s="15" t="n">
        <v>0</v>
      </c>
      <c r="H41" s="15" t="s">
        <v>42</v>
      </c>
      <c r="I41" s="12" t="s">
        <v>184</v>
      </c>
    </row>
    <row r="42" customFormat="false" ht="45" hidden="false" customHeight="true" outlineLevel="0" collapsed="false">
      <c r="A42" s="7" t="s">
        <v>185</v>
      </c>
      <c r="B42" s="7" t="s">
        <v>181</v>
      </c>
      <c r="C42" s="9" t="s">
        <v>186</v>
      </c>
      <c r="D42" s="12" t="s">
        <v>187</v>
      </c>
      <c r="E42" s="13" t="s">
        <v>41</v>
      </c>
      <c r="F42" s="18" t="s">
        <v>19</v>
      </c>
      <c r="G42" s="15" t="n">
        <v>0</v>
      </c>
      <c r="H42" s="15" t="s">
        <v>42</v>
      </c>
      <c r="I42" s="12" t="s">
        <v>188</v>
      </c>
    </row>
    <row r="43" customFormat="false" ht="45" hidden="false" customHeight="true" outlineLevel="0" collapsed="false">
      <c r="A43" s="7" t="s">
        <v>189</v>
      </c>
      <c r="B43" s="7" t="s">
        <v>181</v>
      </c>
      <c r="C43" s="9" t="s">
        <v>190</v>
      </c>
      <c r="D43" s="12" t="s">
        <v>191</v>
      </c>
      <c r="E43" s="16" t="s">
        <v>57</v>
      </c>
      <c r="F43" s="21" t="s">
        <v>21</v>
      </c>
      <c r="G43" s="15" t="n">
        <v>0</v>
      </c>
      <c r="H43" s="15" t="s">
        <v>42</v>
      </c>
      <c r="I43" s="12" t="s">
        <v>184</v>
      </c>
    </row>
    <row r="44" customFormat="false" ht="45" hidden="false" customHeight="true" outlineLevel="0" collapsed="false">
      <c r="A44" s="7" t="s">
        <v>192</v>
      </c>
      <c r="B44" s="7" t="s">
        <v>181</v>
      </c>
      <c r="C44" s="9" t="s">
        <v>193</v>
      </c>
      <c r="D44" s="12" t="s">
        <v>194</v>
      </c>
      <c r="E44" s="13" t="s">
        <v>41</v>
      </c>
      <c r="F44" s="21" t="s">
        <v>21</v>
      </c>
      <c r="G44" s="15" t="n">
        <v>0</v>
      </c>
      <c r="H44" s="15" t="s">
        <v>42</v>
      </c>
      <c r="I44" s="12" t="s">
        <v>122</v>
      </c>
    </row>
    <row r="45" customFormat="false" ht="45" hidden="false" customHeight="true" outlineLevel="0" collapsed="false">
      <c r="A45" s="7" t="s">
        <v>195</v>
      </c>
      <c r="B45" s="7" t="s">
        <v>196</v>
      </c>
      <c r="C45" s="9" t="s">
        <v>197</v>
      </c>
      <c r="D45" s="12" t="s">
        <v>198</v>
      </c>
      <c r="E45" s="13" t="s">
        <v>41</v>
      </c>
      <c r="F45" s="21" t="s">
        <v>21</v>
      </c>
      <c r="G45" s="15" t="n">
        <v>3</v>
      </c>
      <c r="H45" s="15" t="s">
        <v>42</v>
      </c>
      <c r="I45" s="12"/>
    </row>
    <row r="46" customFormat="false" ht="45" hidden="false" customHeight="true" outlineLevel="0" collapsed="false">
      <c r="A46" s="7" t="s">
        <v>199</v>
      </c>
      <c r="B46" s="7" t="s">
        <v>196</v>
      </c>
      <c r="C46" s="9" t="s">
        <v>200</v>
      </c>
      <c r="D46" s="12" t="s">
        <v>201</v>
      </c>
      <c r="E46" s="16" t="s">
        <v>57</v>
      </c>
      <c r="F46" s="21" t="s">
        <v>21</v>
      </c>
      <c r="G46" s="15" t="n">
        <v>1</v>
      </c>
      <c r="H46" s="15" t="s">
        <v>42</v>
      </c>
      <c r="I46" s="12"/>
    </row>
    <row r="47" customFormat="false" ht="45" hidden="false" customHeight="true" outlineLevel="0" collapsed="false">
      <c r="A47" s="7" t="s">
        <v>202</v>
      </c>
      <c r="B47" s="7" t="s">
        <v>196</v>
      </c>
      <c r="C47" s="9" t="s">
        <v>203</v>
      </c>
      <c r="D47" s="12" t="s">
        <v>204</v>
      </c>
      <c r="E47" s="16" t="s">
        <v>57</v>
      </c>
      <c r="F47" s="17" t="s">
        <v>20</v>
      </c>
      <c r="G47" s="15" t="n">
        <v>1</v>
      </c>
      <c r="H47" s="15" t="s">
        <v>42</v>
      </c>
      <c r="I47" s="12"/>
    </row>
    <row r="48" customFormat="false" ht="45" hidden="false" customHeight="true" outlineLevel="0" collapsed="false">
      <c r="A48" s="7" t="s">
        <v>205</v>
      </c>
      <c r="B48" s="7" t="s">
        <v>196</v>
      </c>
      <c r="C48" s="9" t="s">
        <v>206</v>
      </c>
      <c r="D48" s="12" t="s">
        <v>207</v>
      </c>
      <c r="E48" s="19" t="s">
        <v>90</v>
      </c>
      <c r="F48" s="20" t="s">
        <v>22</v>
      </c>
      <c r="G48" s="15" t="n">
        <v>1.5</v>
      </c>
      <c r="H48" s="15" t="s">
        <v>42</v>
      </c>
      <c r="I48" s="12"/>
    </row>
  </sheetData>
  <dataValidations count="3">
    <dataValidation allowBlank="false" errorStyle="stop" operator="between" showDropDown="false" showErrorMessage="false" showInputMessage="false" sqref="E2:E48" type="list">
      <formula1>"Alta,Media,Baja"</formula1>
      <formula2>0</formula2>
    </dataValidation>
    <dataValidation allowBlank="false" errorStyle="stop" operator="between" showDropDown="false" showErrorMessage="false" showInputMessage="false" sqref="F2:F48" type="list">
      <formula1>"Fase 1 – Demo,Fase 2 – Beta artistas,Fase 2 – si alcanza,Fase 3 – Camino a acceso general,Post-GA / Backlog futuro"</formula1>
      <formula2>0</formula2>
    </dataValidation>
    <dataValidation allowBlank="false" errorStyle="stop" operator="between" showDropDown="false" showErrorMessage="false" showInputMessage="false" sqref="H2:H48" type="list">
      <formula1>"Pendiente,En progreso,Hecho,Bloqueado"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0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" t="s">
        <v>208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209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6" t="s">
        <v>14</v>
      </c>
      <c r="B4" s="6" t="s">
        <v>210</v>
      </c>
      <c r="C4" s="6" t="s">
        <v>211</v>
      </c>
      <c r="D4" s="6" t="s">
        <v>212</v>
      </c>
      <c r="E4" s="6" t="s">
        <v>213</v>
      </c>
      <c r="F4" s="6" t="s">
        <v>214</v>
      </c>
    </row>
    <row r="5" customFormat="false" ht="60" hidden="false" customHeight="true" outlineLevel="0" collapsed="false">
      <c r="A5" s="9" t="s">
        <v>18</v>
      </c>
      <c r="B5" s="22" t="s">
        <v>215</v>
      </c>
      <c r="C5" s="23"/>
      <c r="D5" s="23"/>
      <c r="E5" s="23"/>
      <c r="F5" s="12" t="s">
        <v>216</v>
      </c>
    </row>
    <row r="6" customFormat="false" ht="60" hidden="false" customHeight="true" outlineLevel="0" collapsed="false">
      <c r="A6" s="9" t="s">
        <v>19</v>
      </c>
      <c r="B6" s="23"/>
      <c r="C6" s="24" t="s">
        <v>215</v>
      </c>
      <c r="D6" s="24" t="s">
        <v>215</v>
      </c>
      <c r="E6" s="23"/>
      <c r="F6" s="12" t="s">
        <v>217</v>
      </c>
    </row>
    <row r="7" customFormat="false" ht="60" hidden="false" customHeight="true" outlineLevel="0" collapsed="false">
      <c r="A7" s="9" t="s">
        <v>21</v>
      </c>
      <c r="B7" s="23"/>
      <c r="C7" s="23"/>
      <c r="D7" s="23"/>
      <c r="E7" s="25" t="s">
        <v>215</v>
      </c>
      <c r="F7" s="12" t="s">
        <v>218</v>
      </c>
    </row>
    <row r="9" customFormat="false" ht="15" hidden="false" customHeight="false" outlineLevel="0" collapsed="false">
      <c r="A9" s="3" t="s">
        <v>219</v>
      </c>
      <c r="B9" s="3"/>
      <c r="C9" s="3"/>
      <c r="D9" s="3"/>
      <c r="E9" s="3"/>
      <c r="F9" s="3"/>
    </row>
    <row r="10" customFormat="false" ht="90" hidden="false" customHeight="true" outlineLevel="0" collapsed="false">
      <c r="A10" s="11" t="s">
        <v>220</v>
      </c>
      <c r="B10" s="11"/>
      <c r="C10" s="11"/>
      <c r="D10" s="11"/>
      <c r="E10" s="11"/>
      <c r="F10" s="11"/>
    </row>
  </sheetData>
  <mergeCells count="4">
    <mergeCell ref="A1:F1"/>
    <mergeCell ref="A2:F2"/>
    <mergeCell ref="A9:F9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2026-08-25T16:12:56Z</dcterms:created>
  <dc:creator>openpyxl</dc:creator>
  <dc:description/>
  <dc:language>en-US</dc:language>
  <cp:lastModifiedBy/>
  <dcterms:modified xsi:type="dcterms:W3CDTF">2026-08-25T16:12:56Z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